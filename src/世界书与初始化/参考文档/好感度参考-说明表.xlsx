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<sst xmlns="http://schemas.openxmlformats.org/spreadsheetml/2006/main" count="250" uniqueCount="64">
  <si>
    <t>类型名</t>
  </si>
  <si>
    <t>Parameter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</si>
  <si>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</si>
  <si>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</si>
  <si>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</si>
  <si>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</si>
  <si>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</si>
  <si>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</si>
  <si>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</si>
  <si>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</si>
  <si>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</si>
  <si>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</si>
  <si>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</si>
  <si>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小妖怪</t>
  </si>
  <si>
    <t>反感</t>
  </si>
  <si>
    <t>普通</t>
  </si>
  <si>
    <t>相识</t>
  </si>
  <si>
    <t>良好</t>
  </si>
  <si>
    <t>熟络</t>
  </si>
  <si>
    <t>思恋</t>
  </si>
  <si>
    <t>爱慕</t>
  </si>
  <si>
    <t>交友所需轮次</t>
  </si>
  <si>
    <t>爱慕所需轮次</t>
  </si>
  <si>
    <t>根据角色的实际心性套用参数</t>
  </si>
  <si>
    <t>threshold</t>
  </si>
  <si>
    <t>阶段耗时（轮次）</t>
  </si>
  <si>
    <t>参考：</t>
  </si>
  <si>
    <t>patienceUnit</t>
  </si>
  <si>
    <t>year</t>
  </si>
  <si>
    <t>day</t>
  </si>
  <si>
    <t>period</t>
  </si>
  <si>
    <t>week</t>
  </si>
  <si>
    <t>month</t>
  </si>
  <si>
    <t>5好感/轮</t>
  </si>
  <si>
    <t>小妖怪：容易搞定，记性差</t>
  </si>
  <si>
    <t>露米娅、莉格露、米斯蒂娅</t>
  </si>
  <si>
    <t>max</t>
  </si>
  <si>
    <t>20好感/轮</t>
  </si>
  <si>
    <t>妖精：忘性大，好交友，不懂爱</t>
  </si>
  <si>
    <t>全体妖精</t>
  </si>
  <si>
    <t>divisor</t>
  </si>
  <si>
    <t>妖精</t>
  </si>
  <si>
    <t>人类：性格与心境接近普通人类</t>
  </si>
  <si>
    <t>灵梦、美铃、铃仙</t>
  </si>
  <si>
    <t>长寿：谨慎的长寿种</t>
  </si>
  <si>
    <t>帕秋莉、蕾米、爱丽丝、慧音、妹红</t>
  </si>
  <si>
    <t>大佬：大佬级角色</t>
  </si>
  <si>
    <t>幽幽子、紫、幽香</t>
  </si>
  <si>
    <t>神级：基本没什么拓展人际关系的欲望</t>
  </si>
  <si>
    <t>永琳、赫卡提亚</t>
  </si>
  <si>
    <t>人类</t>
  </si>
  <si>
    <t>使用方法：</t>
  </si>
  <si>
    <t>配合来访表、遗忘表，让AI帮忙填写参数内容</t>
  </si>
  <si>
    <t>例如：</t>
  </si>
  <si>
    <t>帕秋莉：长寿-长寿-行动困难</t>
  </si>
  <si>
    <t>长寿</t>
  </si>
  <si>
    <t>琪露诺：妖精-笨蛋-闲人</t>
  </si>
  <si>
    <t>露米娅：小妖怪-笨蛋-闲人</t>
  </si>
  <si>
    <t>米斯蒂娅：小妖怪-普通-普通</t>
  </si>
  <si>
    <t>大佬</t>
  </si>
  <si>
    <t>神级</t>
  </si>
  <si>
    <t>拒绝爱意</t>
  </si>
  <si>
    <t>性格孤僻</t>
  </si>
  <si>
    <t>天生坏种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</si>
</sst>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1">
      <alignment vertical="center"/>
    </xf>
    <xf numFmtId="0" fontId="7" fillId="0" borderId="11">
      <alignment vertical="center"/>
    </xf>
    <xf numFmtId="0" fontId="8" fillId="0" borderId="12">
      <alignment vertical="center"/>
    </xf>
    <xf numFmtId="0" fontId="8" fillId="0" borderId="0">
      <alignment vertical="center"/>
    </xf>
    <xf numFmtId="0" fontId="9" fillId="5" borderId="13">
      <alignment vertical="center"/>
    </xf>
    <xf numFmtId="0" fontId="10" fillId="6" borderId="14">
      <alignment vertical="center"/>
    </xf>
    <xf numFmtId="0" fontId="11" fillId="6" borderId="13">
      <alignment vertical="center"/>
    </xf>
    <xf numFmtId="0" fontId="12" fillId="7" borderId="15">
      <alignment vertical="center"/>
    </xf>
    <xf numFmtId="0" fontId="13" fillId="0" borderId="16">
      <alignment vertical="center"/>
    </xf>
    <xf numFmtId="0" fontId="14" fillId="0" borderId="17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小妖怪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"基础好感"</c:f>
              <c:strCache>
                <c:ptCount val="1"/>
                <c:pt idx="0">
                  <c:v>基础好感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Sheet1!$O$2:$U$2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13.3333333333333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"5好感"</c:f>
              <c:strCache>
                <c:ptCount val="1"/>
                <c:pt idx="0">
                  <c:v>5好感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Sheet1!$O$3:$U$3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6.66666666666667</c:v>
                </c:pt>
                <c:pt idx="3">
                  <c:v>6.66666666666667</c:v>
                </c:pt>
                <c:pt idx="4">
                  <c:v>10</c:v>
                </c:pt>
                <c:pt idx="5">
                  <c:v>40</c:v>
                </c:pt>
                <c:pt idx="6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"20好感"</c:f>
              <c:strCache>
                <c:ptCount val="1"/>
                <c:pt idx="0">
                  <c:v>20好感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Sheet1!$O$4:$U$4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1.11111111111111</c:v>
                </c:pt>
                <c:pt idx="3">
                  <c:v>1.11111111111111</c:v>
                </c:pt>
                <c:pt idx="4">
                  <c:v>1.17647058823529</c:v>
                </c:pt>
                <c:pt idx="5">
                  <c:v>40</c:v>
                </c:pt>
                <c:pt idx="6">
                  <c:v>1.17647058823529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e56449-a305-4618-8bd1-264d652027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妖精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Sheet1!$O$6:$U$6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  <c:pt idx="5">
                  <c:v>66.6666666666667</c:v>
                </c:pt>
                <c:pt idx="6">
                  <c:v>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Sheet1!$O$7:$U$7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6.66666666666667</c:v>
                </c:pt>
                <c:pt idx="5">
                  <c:v>66.6666666666667</c:v>
                </c:pt>
                <c:pt idx="6">
                  <c:v>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Sheet1!$O$8:$U$8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1.05263157894737</c:v>
                </c:pt>
                <c:pt idx="3">
                  <c:v>1.05263157894737</c:v>
                </c:pt>
                <c:pt idx="4">
                  <c:v>1.11111111111111</c:v>
                </c:pt>
                <c:pt idx="5">
                  <c:v>66.6666666666667</c:v>
                </c:pt>
                <c:pt idx="6">
                  <c:v>1.11111111111111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人类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Sheet1!$O$10:$U$10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20</c:v>
                </c:pt>
                <c:pt idx="4">
                  <c:v>40</c:v>
                </c:pt>
                <c:pt idx="5">
                  <c:v>66.6666666666667</c:v>
                </c:pt>
                <c:pt idx="6">
                  <c:v>20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Sheet1!$O$11:$U$11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10</c:v>
                </c:pt>
                <c:pt idx="4">
                  <c:v>40</c:v>
                </c:pt>
                <c:pt idx="5">
                  <c:v>66.6666666666667</c:v>
                </c:pt>
                <c:pt idx="6">
                  <c:v>20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Sheet1!$O$12:$U$12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1.17647058823529</c:v>
                </c:pt>
                <c:pt idx="4">
                  <c:v>1.66666666666667</c:v>
                </c:pt>
                <c:pt idx="5">
                  <c:v>66.6666666666667</c:v>
                </c:pt>
                <c:pt idx="6">
                  <c:v>1.81818181818182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长寿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Sheet1!$O$14:$U$14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17.1428571428571</c:v>
                </c:pt>
                <c:pt idx="3">
                  <c:v>30</c:v>
                </c:pt>
                <c:pt idx="4">
                  <c:v>60</c:v>
                </c:pt>
                <c:pt idx="5">
                  <c:v>116.666666666667</c:v>
                </c:pt>
                <c:pt idx="6">
                  <c:v>25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Sheet1!$O$15:$U$15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17.1428571428571</c:v>
                </c:pt>
                <c:pt idx="3">
                  <c:v>15</c:v>
                </c:pt>
                <c:pt idx="4">
                  <c:v>60</c:v>
                </c:pt>
                <c:pt idx="5">
                  <c:v>116.666666666667</c:v>
                </c:pt>
                <c:pt idx="6">
                  <c:v>25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Sheet1!$O$16:$U$16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1.76470588235294</c:v>
                </c:pt>
                <c:pt idx="4">
                  <c:v>2.5</c:v>
                </c:pt>
                <c:pt idx="5">
                  <c:v>116.666666666667</c:v>
                </c:pt>
                <c:pt idx="6">
                  <c:v>2.27272727272727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大佬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Sheet1!$O$18:$U$18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17.1428571428571</c:v>
                </c:pt>
                <c:pt idx="3">
                  <c:v>30</c:v>
                </c:pt>
                <c:pt idx="4">
                  <c:v>80</c:v>
                </c:pt>
                <c:pt idx="5">
                  <c:v>100</c:v>
                </c:pt>
                <c:pt idx="6">
                  <c:v>50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Sheet1!$O$19:$U$19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17.1428571428571</c:v>
                </c:pt>
                <c:pt idx="3">
                  <c:v>15</c:v>
                </c:pt>
                <c:pt idx="4">
                  <c:v>80</c:v>
                </c:pt>
                <c:pt idx="5">
                  <c:v>100</c:v>
                </c:pt>
                <c:pt idx="6">
                  <c:v>50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Sheet1!$O$20:$U$20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1.76470588235294</c:v>
                </c:pt>
                <c:pt idx="4">
                  <c:v>3.33333333333333</c:v>
                </c:pt>
                <c:pt idx="5">
                  <c:v>100</c:v>
                </c:pt>
                <c:pt idx="6">
                  <c:v>4.54545454545455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神级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Sheet1!$O$22:$U$22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28.5714285714286</c:v>
                </c:pt>
                <c:pt idx="3">
                  <c:v>50</c:v>
                </c:pt>
                <c:pt idx="4">
                  <c:v>75</c:v>
                </c:pt>
                <c:pt idx="5">
                  <c:v>150</c:v>
                </c:pt>
                <c:pt idx="6">
                  <c:v>50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Sheet1!$O$23:$U$23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28.5714285714286</c:v>
                </c:pt>
                <c:pt idx="3">
                  <c:v>25</c:v>
                </c:pt>
                <c:pt idx="4">
                  <c:v>75</c:v>
                </c:pt>
                <c:pt idx="5">
                  <c:v>150</c:v>
                </c:pt>
                <c:pt idx="6">
                  <c:v>50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Sheet1!$O$24:$U$24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2.94117647058824</c:v>
                </c:pt>
                <c:pt idx="4">
                  <c:v>6.25</c:v>
                </c:pt>
                <c:pt idx="5">
                  <c:v>150</c:v>
                </c:pt>
                <c:pt idx="6">
                  <c:v>4.54545454545455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拒绝爱意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Sheet1!$O$26:$U$26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20</c:v>
                </c:pt>
                <c:pt idx="4">
                  <c:v>40</c:v>
                </c:pt>
                <c:pt idx="5">
                  <c:v>133.333333333333</c:v>
                </c:pt>
                <c:pt idx="6">
                  <c:v>25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Sheet1!$O$27:$U$27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10</c:v>
                </c:pt>
                <c:pt idx="4">
                  <c:v>40</c:v>
                </c:pt>
                <c:pt idx="5">
                  <c:v>133.333333333333</c:v>
                </c:pt>
                <c:pt idx="6">
                  <c:v>25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Sheet1!$O$28:$U$28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1.17647058823529</c:v>
                </c:pt>
                <c:pt idx="4">
                  <c:v>1.66666666666667</c:v>
                </c:pt>
                <c:pt idx="5">
                  <c:v>133.333333333333</c:v>
                </c:pt>
                <c:pt idx="6">
                  <c:v>2.27272727272727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性格孤僻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Sheet1!$O$30:$U$30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20</c:v>
                </c:pt>
                <c:pt idx="4">
                  <c:v>40</c:v>
                </c:pt>
                <c:pt idx="5">
                  <c:v>66.6666666666667</c:v>
                </c:pt>
                <c:pt idx="6">
                  <c:v>20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Sheet1!$O$31:$U$31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11.4285714285714</c:v>
                </c:pt>
                <c:pt idx="3">
                  <c:v>20</c:v>
                </c:pt>
                <c:pt idx="4">
                  <c:v>40</c:v>
                </c:pt>
                <c:pt idx="5">
                  <c:v>66.6666666666667</c:v>
                </c:pt>
                <c:pt idx="6">
                  <c:v>20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Sheet1!$O$32:$U$32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20</c:v>
                </c:pt>
                <c:pt idx="4">
                  <c:v>1.66666666666667</c:v>
                </c:pt>
                <c:pt idx="5">
                  <c:v>66.6666666666667</c:v>
                </c:pt>
                <c:pt idx="6">
                  <c:v>1.81818181818182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天生坏种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Sheet1!$O$34:$U$34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11.4285714285714</c:v>
                </c:pt>
                <c:pt idx="3">
                  <c:v>20</c:v>
                </c:pt>
                <c:pt idx="4">
                  <c:v>80</c:v>
                </c:pt>
                <c:pt idx="5">
                  <c:v>100</c:v>
                </c:pt>
                <c:pt idx="6">
                  <c:v>20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Sheet1!$O$35:$U$35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11.4285714285714</c:v>
                </c:pt>
                <c:pt idx="3">
                  <c:v>10</c:v>
                </c:pt>
                <c:pt idx="4">
                  <c:v>80</c:v>
                </c:pt>
                <c:pt idx="5">
                  <c:v>100</c:v>
                </c:pt>
                <c:pt idx="6">
                  <c:v>20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Sheet1!$O$1:$U$1</c:f>
              <c:strCache>
                <c:ptCount val="7"/>
                <c:pt idx="0">
                  <c:v>反感</c:v>
                </c:pt>
                <c:pt idx="1">
                  <c:v>普通</c:v>
                </c:pt>
                <c:pt idx="2">
                  <c:v>相识</c:v>
                </c:pt>
                <c:pt idx="3">
                  <c:v>良好</c:v>
                </c:pt>
                <c:pt idx="4">
                  <c:v>熟络</c:v>
                </c:pt>
                <c:pt idx="5">
                  <c:v>思恋</c:v>
                </c:pt>
                <c:pt idx="6">
                  <c:v>爱慕</c:v>
                </c:pt>
              </c:strCache>
            </c:strRef>
          </c:cat>
          <c:val>
            <c:numRef>
              <c:f>Sheet1!$O$36:$U$36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1.17647058823529</c:v>
                </c:pt>
                <c:pt idx="4">
                  <c:v>3.33333333333333</c:v>
                </c:pt>
                <c:pt idx="5">
                  <c:v>100</c:v>
                </c:pt>
                <c:pt idx="6">
                  <c:v>1.81818181818182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326286"/>
        <c:axId val="899495607"/>
      </c:lineChart>
      <c:catAx>
        <c:axId val="3523262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495607"/>
        <c:crosses val="autoZero"/>
        <c:auto val="1"/>
        <c:lblAlgn val="ctr"/>
        <c:lblOffset val="100"/>
        <c:noMultiLvlLbl val="0"/>
      </c:catAx>
      <c:valAx>
        <c:axId val="89949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326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a46806-61ae-45be-983d-ef999c9d7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107950</xdr:colOff>
      <xdr:row>0</xdr:row>
      <xdr:rowOff>69850</xdr:rowOff>
    </xdr:from>
    <xdr:to>
      <xdr:col>32</xdr:col>
      <xdr:colOff>-409575</xdr:colOff>
      <xdr:row>13</xdr:row>
      <xdr:rowOff>21590</xdr:rowOff>
    </xdr:to>
    <xdr:graphicFrame>
      <xdr:nvGraphicFramePr>
        <xdr:cNvPr id="2" name="图表 1"/>
        <xdr:cNvGraphicFramePr/>
      </xdr:nvGraphicFramePr>
      <xdr:xfrm>
        <a:off x="3900805" y="69850"/>
        <a:ext cx="5654675" cy="2218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101600</xdr:colOff>
      <xdr:row>13</xdr:row>
      <xdr:rowOff>82550</xdr:rowOff>
    </xdr:from>
    <xdr:to>
      <xdr:col>32</xdr:col>
      <xdr:colOff>-415925</xdr:colOff>
      <xdr:row>26</xdr:row>
      <xdr:rowOff>34290</xdr:rowOff>
    </xdr:to>
    <xdr:graphicFrame>
      <xdr:nvGraphicFramePr>
        <xdr:cNvPr id="3" name="图表 2"/>
        <xdr:cNvGraphicFramePr/>
      </xdr:nvGraphicFramePr>
      <xdr:xfrm>
        <a:off x="3894455" y="2349500"/>
        <a:ext cx="5654675" cy="2237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116205</xdr:colOff>
      <xdr:row>26</xdr:row>
      <xdr:rowOff>93345</xdr:rowOff>
    </xdr:from>
    <xdr:to>
      <xdr:col>32</xdr:col>
      <xdr:colOff>-401320</xdr:colOff>
      <xdr:row>39</xdr:row>
      <xdr:rowOff>45085</xdr:rowOff>
    </xdr:to>
    <xdr:graphicFrame>
      <xdr:nvGraphicFramePr>
        <xdr:cNvPr id="4" name="图表 3"/>
        <xdr:cNvGraphicFramePr/>
      </xdr:nvGraphicFramePr>
      <xdr:xfrm>
        <a:off x="3909060" y="4646295"/>
        <a:ext cx="5654675" cy="2228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130810</xdr:colOff>
      <xdr:row>39</xdr:row>
      <xdr:rowOff>172085</xdr:rowOff>
    </xdr:from>
    <xdr:to>
      <xdr:col>32</xdr:col>
      <xdr:colOff>-386715</xdr:colOff>
      <xdr:row>52</xdr:row>
      <xdr:rowOff>123190</xdr:rowOff>
    </xdr:to>
    <xdr:graphicFrame>
      <xdr:nvGraphicFramePr>
        <xdr:cNvPr id="5" name="图表 4"/>
        <xdr:cNvGraphicFramePr/>
      </xdr:nvGraphicFramePr>
      <xdr:xfrm>
        <a:off x="3923665" y="7000875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144780</xdr:colOff>
      <xdr:row>53</xdr:row>
      <xdr:rowOff>36830</xdr:rowOff>
    </xdr:from>
    <xdr:to>
      <xdr:col>32</xdr:col>
      <xdr:colOff>-372745</xdr:colOff>
      <xdr:row>65</xdr:row>
      <xdr:rowOff>160020</xdr:rowOff>
    </xdr:to>
    <xdr:graphicFrame>
      <xdr:nvGraphicFramePr>
        <xdr:cNvPr id="6" name="图表 5"/>
        <xdr:cNvGraphicFramePr/>
      </xdr:nvGraphicFramePr>
      <xdr:xfrm>
        <a:off x="3937635" y="9266555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136525</xdr:colOff>
      <xdr:row>66</xdr:row>
      <xdr:rowOff>118110</xdr:rowOff>
    </xdr:from>
    <xdr:to>
      <xdr:col>32</xdr:col>
      <xdr:colOff>-381000</xdr:colOff>
      <xdr:row>79</xdr:row>
      <xdr:rowOff>69850</xdr:rowOff>
    </xdr:to>
    <xdr:graphicFrame>
      <xdr:nvGraphicFramePr>
        <xdr:cNvPr id="7" name="图表 6"/>
        <xdr:cNvGraphicFramePr/>
      </xdr:nvGraphicFramePr>
      <xdr:xfrm>
        <a:off x="3929380" y="11576685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106045</xdr:colOff>
      <xdr:row>79</xdr:row>
      <xdr:rowOff>151765</xdr:rowOff>
    </xdr:from>
    <xdr:to>
      <xdr:col>32</xdr:col>
      <xdr:colOff>-411480</xdr:colOff>
      <xdr:row>92</xdr:row>
      <xdr:rowOff>103505</xdr:rowOff>
    </xdr:to>
    <xdr:graphicFrame>
      <xdr:nvGraphicFramePr>
        <xdr:cNvPr id="8" name="图表 7"/>
        <xdr:cNvGraphicFramePr/>
      </xdr:nvGraphicFramePr>
      <xdr:xfrm>
        <a:off x="3898900" y="13839190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120650</xdr:colOff>
      <xdr:row>93</xdr:row>
      <xdr:rowOff>162560</xdr:rowOff>
    </xdr:from>
    <xdr:to>
      <xdr:col>32</xdr:col>
      <xdr:colOff>-396875</xdr:colOff>
      <xdr:row>106</xdr:row>
      <xdr:rowOff>114300</xdr:rowOff>
    </xdr:to>
    <xdr:graphicFrame>
      <xdr:nvGraphicFramePr>
        <xdr:cNvPr id="9" name="图表 8"/>
        <xdr:cNvGraphicFramePr/>
      </xdr:nvGraphicFramePr>
      <xdr:xfrm>
        <a:off x="3913505" y="16250285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146685</xdr:colOff>
      <xdr:row>107</xdr:row>
      <xdr:rowOff>128905</xdr:rowOff>
    </xdr:from>
    <xdr:to>
      <xdr:col>32</xdr:col>
      <xdr:colOff>-370840</xdr:colOff>
      <xdr:row>120</xdr:row>
      <xdr:rowOff>80645</xdr:rowOff>
    </xdr:to>
    <xdr:graphicFrame>
      <xdr:nvGraphicFramePr>
        <xdr:cNvPr id="10" name="图表 9"/>
        <xdr:cNvGraphicFramePr/>
      </xdr:nvGraphicFramePr>
      <xdr:xfrm>
        <a:off x="3939540" y="18616930"/>
        <a:ext cx="565467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9"/>
  <sheetViews>
    <sheetView tabSelected="1" zoomScale="85" zoomScaleNormal="85" topLeftCell="N1" workbookViewId="0">
      <selection activeCell="AH26" sqref="AH26"/>
    </sheetView>
  </sheetViews>
  <sheetFormatPr defaultColWidth="9" defaultRowHeight="13.5"/>
  <cols>
    <col min="1" max="1" width="8.375" hidden="1" customWidth="1"/>
    <col min="2" max="13" width="6.875" hidden="1" customWidth="1"/>
    <col min="14" max="14" width="17.125" customWidth="1"/>
    <col min="15" max="21" width="0.883333333333333" style="1" customWidth="1"/>
    <col min="22" max="23" width="13.2333333333333" customWidth="1"/>
    <col min="33" max="33" width="35.875" customWidth="1"/>
    <col min="34" max="34" width="56.4666666666667" customWidth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AG1" t="s">
        <v>23</v>
      </c>
    </row>
    <row r="2" spans="1:34">
      <c r="A2" s="2" t="s">
        <v>13</v>
      </c>
      <c r="B2" s="2" t="s">
        <v>24</v>
      </c>
      <c r="C2" s="2">
        <v>-9999</v>
      </c>
      <c r="D2" s="2">
        <v>-5000</v>
      </c>
      <c r="E2" s="2">
        <v>-50</v>
      </c>
      <c r="F2" s="2">
        <v>-25</v>
      </c>
      <c r="G2" s="2">
        <v>-10</v>
      </c>
      <c r="H2" s="2">
        <v>20</v>
      </c>
      <c r="I2" s="2">
        <v>40</v>
      </c>
      <c r="J2" s="2">
        <v>60</v>
      </c>
      <c r="K2" s="2">
        <v>80</v>
      </c>
      <c r="L2" s="2">
        <v>100</v>
      </c>
      <c r="M2" s="2">
        <v>9989</v>
      </c>
      <c r="N2" s="4" t="s">
        <v>25</v>
      </c>
      <c r="O2" s="1">
        <v>0</v>
      </c>
      <c r="P2" s="1">
        <v>0</v>
      </c>
      <c r="Q2" s="1">
        <f>H2/G4</f>
        <v>10</v>
      </c>
      <c r="R2" s="1">
        <f t="shared" ref="R2:U2" si="0">(I2-H2)/H4</f>
        <v>10</v>
      </c>
      <c r="S2" s="1">
        <f t="shared" si="0"/>
        <v>20</v>
      </c>
      <c r="T2" s="1">
        <f t="shared" si="0"/>
        <v>40</v>
      </c>
      <c r="U2" s="1">
        <f t="shared" si="0"/>
        <v>13.3333333333333</v>
      </c>
      <c r="V2" s="5">
        <f t="shared" ref="V2:V8" si="1">SUM(N2:S2)</f>
        <v>40</v>
      </c>
      <c r="W2" s="6">
        <f t="shared" ref="W2:W8" si="2">SUM(Q2:U2)</f>
        <v>93.3333333333333</v>
      </c>
      <c r="AG2" t="s">
        <v>26</v>
      </c>
    </row>
    <row r="3" spans="1:34">
      <c r="A3" s="2" t="s">
        <v>13</v>
      </c>
      <c r="B3" s="2" t="s">
        <v>27</v>
      </c>
      <c r="C3" s="2" t="s">
        <v>28</v>
      </c>
      <c r="D3" s="2" t="s">
        <v>28</v>
      </c>
      <c r="E3" s="2" t="s">
        <v>29</v>
      </c>
      <c r="F3" s="2" t="s">
        <v>30</v>
      </c>
      <c r="G3" s="2" t="s">
        <v>30</v>
      </c>
      <c r="H3" s="2" t="s">
        <v>30</v>
      </c>
      <c r="I3" s="2" t="s">
        <v>29</v>
      </c>
      <c r="J3" s="2" t="s">
        <v>31</v>
      </c>
      <c r="K3" s="2" t="s">
        <v>32</v>
      </c>
      <c r="L3" s="2" t="s">
        <v>28</v>
      </c>
      <c r="M3" s="2" t="s">
        <v>28</v>
      </c>
      <c r="N3" s="7" t="s">
        <v>33</v>
      </c>
      <c r="O3" s="1">
        <v>0</v>
      </c>
      <c r="P3" s="1">
        <v>0</v>
      </c>
      <c r="Q3" s="1">
        <f>(H2)/MAX(5-G5,G4)</f>
        <v>6.66666666666667</v>
      </c>
      <c r="R3" s="1">
        <f>(I2-H2)/MAX(5-H5,H4)</f>
        <v>6.66666666666667</v>
      </c>
      <c r="S3" s="1">
        <f>(J2-I2)/MAX(5-I5,I4)</f>
        <v>10</v>
      </c>
      <c r="T3" s="1">
        <f>(K2-J2)/MAX(5-J5,J4)</f>
        <v>40</v>
      </c>
      <c r="U3" s="1">
        <f>(L2-K2)/MAX(5-K5,K4)</f>
        <v>10</v>
      </c>
      <c r="V3" s="8">
        <f t="shared" si="1"/>
        <v>23.3333333333333</v>
      </c>
      <c r="W3" s="9">
        <f t="shared" si="2"/>
        <v>73.3333333333333</v>
      </c>
      <c r="AG3" t="s">
        <v>34</v>
      </c>
      <c r="AH3" t="s">
        <v>35</v>
      </c>
    </row>
    <row r="4" ht="14.25" spans="1:34">
      <c r="A4" s="2" t="s">
        <v>13</v>
      </c>
      <c r="B4" s="2" t="s">
        <v>36</v>
      </c>
      <c r="C4" s="2">
        <v>1</v>
      </c>
      <c r="D4" s="2">
        <v>2</v>
      </c>
      <c r="E4" s="2">
        <v>1.5</v>
      </c>
      <c r="F4" s="2">
        <v>1.5</v>
      </c>
      <c r="G4" s="2">
        <v>2</v>
      </c>
      <c r="H4" s="2">
        <v>2</v>
      </c>
      <c r="I4" s="2">
        <v>1</v>
      </c>
      <c r="J4" s="2">
        <v>0.5</v>
      </c>
      <c r="K4" s="2">
        <v>1.5</v>
      </c>
      <c r="L4" s="2">
        <v>20</v>
      </c>
      <c r="M4" s="2">
        <v>20</v>
      </c>
      <c r="N4" s="7" t="s">
        <v>37</v>
      </c>
      <c r="O4" s="1">
        <v>0</v>
      </c>
      <c r="P4" s="1">
        <v>0</v>
      </c>
      <c r="Q4" s="1">
        <f>(H2)/MAX(20-G5,G4)</f>
        <v>1.11111111111111</v>
      </c>
      <c r="R4" s="1">
        <f t="shared" ref="Q4:U4" si="3">(I2-H2)/MAX(20-H5,H4)</f>
        <v>1.11111111111111</v>
      </c>
      <c r="S4" s="1">
        <f t="shared" si="3"/>
        <v>1.17647058823529</v>
      </c>
      <c r="T4" s="1">
        <f t="shared" si="3"/>
        <v>40</v>
      </c>
      <c r="U4" s="1">
        <f t="shared" si="3"/>
        <v>1.17647058823529</v>
      </c>
      <c r="V4" s="10">
        <f t="shared" si="1"/>
        <v>3.39869281045752</v>
      </c>
      <c r="W4" s="11">
        <f t="shared" si="2"/>
        <v>44.5751633986928</v>
      </c>
      <c r="AG4" t="s">
        <v>38</v>
      </c>
      <c r="AH4" t="s">
        <v>39</v>
      </c>
    </row>
    <row r="5" ht="14.25" spans="1:34">
      <c r="A5" s="2" t="s">
        <v>13</v>
      </c>
      <c r="B5" s="2" t="s">
        <v>40</v>
      </c>
      <c r="C5" s="2">
        <v>9999</v>
      </c>
      <c r="D5" s="2">
        <v>9999</v>
      </c>
      <c r="E5" s="2">
        <v>9999</v>
      </c>
      <c r="F5" s="2">
        <v>3</v>
      </c>
      <c r="G5" s="2">
        <v>2</v>
      </c>
      <c r="H5" s="2">
        <v>2</v>
      </c>
      <c r="I5" s="2">
        <v>3</v>
      </c>
      <c r="J5" s="2">
        <v>30</v>
      </c>
      <c r="K5" s="2">
        <v>3</v>
      </c>
      <c r="L5" s="2">
        <v>2</v>
      </c>
      <c r="M5" s="2">
        <v>2</v>
      </c>
      <c r="N5" s="3" t="s">
        <v>41</v>
      </c>
      <c r="O5" s="1">
        <v>0</v>
      </c>
      <c r="P5" s="1">
        <v>0</v>
      </c>
      <c r="AG5" t="s">
        <v>42</v>
      </c>
      <c r="AH5" t="s">
        <v>43</v>
      </c>
    </row>
    <row r="6" spans="1:34">
      <c r="A6" s="2" t="s">
        <v>41</v>
      </c>
      <c r="B6" s="2" t="s">
        <v>24</v>
      </c>
      <c r="C6" s="2">
        <v>-9999</v>
      </c>
      <c r="D6" s="2">
        <v>-5000</v>
      </c>
      <c r="E6" s="2">
        <v>-50</v>
      </c>
      <c r="F6" s="2">
        <v>-25</v>
      </c>
      <c r="G6" s="2">
        <v>-10</v>
      </c>
      <c r="H6" s="2">
        <v>20</v>
      </c>
      <c r="I6" s="2">
        <v>40</v>
      </c>
      <c r="J6" s="2">
        <v>60</v>
      </c>
      <c r="K6" s="2">
        <v>80</v>
      </c>
      <c r="L6" s="2">
        <v>100</v>
      </c>
      <c r="M6" s="2">
        <v>9989</v>
      </c>
      <c r="N6" s="4" t="s">
        <v>25</v>
      </c>
      <c r="O6" s="1">
        <v>0</v>
      </c>
      <c r="P6" s="1">
        <v>0</v>
      </c>
      <c r="Q6" s="1">
        <f>H6/G8</f>
        <v>2</v>
      </c>
      <c r="R6" s="1">
        <f t="shared" ref="R6:U6" si="4">(I6-H6)/H8</f>
        <v>10</v>
      </c>
      <c r="S6" s="1">
        <f t="shared" si="4"/>
        <v>20</v>
      </c>
      <c r="T6" s="1">
        <f t="shared" si="4"/>
        <v>66.6666666666667</v>
      </c>
      <c r="U6" s="1">
        <f t="shared" si="4"/>
        <v>4</v>
      </c>
      <c r="V6" s="5">
        <f t="shared" si="1"/>
        <v>32</v>
      </c>
      <c r="W6" s="6">
        <f t="shared" si="2"/>
        <v>102.666666666667</v>
      </c>
      <c r="AG6" t="s">
        <v>44</v>
      </c>
      <c r="AH6" t="s">
        <v>45</v>
      </c>
    </row>
    <row r="7" spans="1:34">
      <c r="A7" s="2" t="s">
        <v>41</v>
      </c>
      <c r="B7" s="2" t="s">
        <v>27</v>
      </c>
      <c r="C7" s="2" t="s">
        <v>28</v>
      </c>
      <c r="D7" s="2" t="s">
        <v>28</v>
      </c>
      <c r="E7" s="2" t="s">
        <v>29</v>
      </c>
      <c r="F7" s="2" t="s">
        <v>30</v>
      </c>
      <c r="G7" s="2" t="s">
        <v>30</v>
      </c>
      <c r="H7" s="2" t="s">
        <v>30</v>
      </c>
      <c r="I7" s="2" t="s">
        <v>29</v>
      </c>
      <c r="J7" s="2" t="s">
        <v>31</v>
      </c>
      <c r="K7" s="2" t="s">
        <v>32</v>
      </c>
      <c r="L7" s="2" t="s">
        <v>28</v>
      </c>
      <c r="M7" s="2" t="s">
        <v>28</v>
      </c>
      <c r="N7" s="7" t="s">
        <v>33</v>
      </c>
      <c r="O7" s="1">
        <v>0</v>
      </c>
      <c r="P7" s="1">
        <v>0</v>
      </c>
      <c r="Q7" s="1">
        <f>(H6)/MAX(5-G9,G8)</f>
        <v>2</v>
      </c>
      <c r="R7" s="1">
        <f t="shared" ref="R7:U7" si="5">(I6-H6)/MAX(5-H9,H8)</f>
        <v>5</v>
      </c>
      <c r="S7" s="1">
        <f t="shared" si="5"/>
        <v>6.66666666666667</v>
      </c>
      <c r="T7" s="1">
        <f t="shared" si="5"/>
        <v>66.6666666666667</v>
      </c>
      <c r="U7" s="1">
        <f t="shared" si="5"/>
        <v>4</v>
      </c>
      <c r="V7" s="8">
        <f t="shared" si="1"/>
        <v>13.6666666666667</v>
      </c>
      <c r="W7" s="9">
        <f t="shared" si="2"/>
        <v>84.3333333333333</v>
      </c>
      <c r="AG7" t="s">
        <v>46</v>
      </c>
      <c r="AH7" t="s">
        <v>47</v>
      </c>
    </row>
    <row r="8" ht="14.25" spans="1:34">
      <c r="A8" s="2" t="s">
        <v>41</v>
      </c>
      <c r="B8" s="2" t="s">
        <v>36</v>
      </c>
      <c r="C8" s="2">
        <v>1</v>
      </c>
      <c r="D8" s="2">
        <v>2</v>
      </c>
      <c r="E8" s="2">
        <v>2</v>
      </c>
      <c r="F8" s="2">
        <v>2</v>
      </c>
      <c r="G8" s="2">
        <v>10</v>
      </c>
      <c r="H8" s="2">
        <v>2</v>
      </c>
      <c r="I8" s="2">
        <v>1</v>
      </c>
      <c r="J8" s="2">
        <v>0.3</v>
      </c>
      <c r="K8" s="2">
        <v>5</v>
      </c>
      <c r="L8" s="2">
        <v>20</v>
      </c>
      <c r="M8" s="2">
        <v>20</v>
      </c>
      <c r="N8" s="7" t="s">
        <v>37</v>
      </c>
      <c r="O8" s="1">
        <v>0</v>
      </c>
      <c r="P8" s="1">
        <v>0</v>
      </c>
      <c r="Q8" s="1">
        <f>(H6)/MAX(20-G9,G8)</f>
        <v>1.05263157894737</v>
      </c>
      <c r="R8" s="1">
        <f t="shared" ref="R8:U8" si="6">(I6-H6)/MAX(20-H9,H8)</f>
        <v>1.05263157894737</v>
      </c>
      <c r="S8" s="1">
        <f t="shared" si="6"/>
        <v>1.11111111111111</v>
      </c>
      <c r="T8" s="1">
        <f t="shared" si="6"/>
        <v>66.6666666666667</v>
      </c>
      <c r="U8" s="1">
        <f t="shared" si="6"/>
        <v>1.11111111111111</v>
      </c>
      <c r="V8" s="10">
        <f t="shared" si="1"/>
        <v>3.21637426900585</v>
      </c>
      <c r="W8" s="11">
        <f t="shared" si="2"/>
        <v>70.9941520467836</v>
      </c>
      <c r="AG8" t="s">
        <v>48</v>
      </c>
      <c r="AH8" t="s">
        <v>49</v>
      </c>
    </row>
    <row r="9" ht="14.25" spans="1:34">
      <c r="A9" s="2" t="s">
        <v>41</v>
      </c>
      <c r="B9" s="2" t="s">
        <v>40</v>
      </c>
      <c r="C9" s="2">
        <v>9999</v>
      </c>
      <c r="D9" s="2">
        <v>9999</v>
      </c>
      <c r="E9" s="2">
        <v>9999</v>
      </c>
      <c r="F9" s="2">
        <v>3</v>
      </c>
      <c r="G9" s="2">
        <v>1</v>
      </c>
      <c r="H9" s="2">
        <v>1</v>
      </c>
      <c r="I9" s="2">
        <v>2</v>
      </c>
      <c r="J9" s="2">
        <v>60</v>
      </c>
      <c r="K9" s="2">
        <v>2</v>
      </c>
      <c r="L9" s="2">
        <v>2</v>
      </c>
      <c r="M9" s="2">
        <v>2</v>
      </c>
      <c r="N9" s="3" t="s">
        <v>50</v>
      </c>
      <c r="O9" s="1">
        <v>0</v>
      </c>
      <c r="P9" s="1">
        <v>0</v>
      </c>
    </row>
    <row r="10" spans="1:34">
      <c r="A10" s="2" t="s">
        <v>50</v>
      </c>
      <c r="B10" s="2" t="s">
        <v>24</v>
      </c>
      <c r="C10" s="2">
        <v>-9999</v>
      </c>
      <c r="D10" s="2">
        <v>-5000</v>
      </c>
      <c r="E10" s="2">
        <v>-50</v>
      </c>
      <c r="F10" s="2">
        <v>-25</v>
      </c>
      <c r="G10" s="2">
        <v>-10</v>
      </c>
      <c r="H10" s="2">
        <v>20</v>
      </c>
      <c r="I10" s="2">
        <v>40</v>
      </c>
      <c r="J10" s="2">
        <v>60</v>
      </c>
      <c r="K10" s="2">
        <v>80</v>
      </c>
      <c r="L10" s="2">
        <v>100</v>
      </c>
      <c r="M10" s="2">
        <v>9989</v>
      </c>
      <c r="N10" s="4" t="s">
        <v>25</v>
      </c>
      <c r="O10" s="1">
        <v>0</v>
      </c>
      <c r="P10" s="1">
        <v>0</v>
      </c>
      <c r="Q10" s="1">
        <f>H10/G12</f>
        <v>11.4285714285714</v>
      </c>
      <c r="R10" s="1">
        <f t="shared" ref="R10:U10" si="7">(I10-H10)/H12</f>
        <v>20</v>
      </c>
      <c r="S10" s="1">
        <f t="shared" si="7"/>
        <v>40</v>
      </c>
      <c r="T10" s="1">
        <f t="shared" si="7"/>
        <v>66.6666666666667</v>
      </c>
      <c r="U10" s="1">
        <f t="shared" si="7"/>
        <v>20</v>
      </c>
      <c r="V10" s="5">
        <f>SUM(N10:S10)</f>
        <v>71.4285714285714</v>
      </c>
      <c r="W10" s="6">
        <f t="shared" ref="W10:W12" si="8">SUM(Q10:U10)</f>
        <v>158.095238095238</v>
      </c>
      <c r="AG10" t="s">
        <v>51</v>
      </c>
      <c r="AH10" t="s">
        <v>52</v>
      </c>
    </row>
    <row r="11" spans="1:34">
      <c r="A11" s="2" t="s">
        <v>50</v>
      </c>
      <c r="B11" s="2" t="s">
        <v>27</v>
      </c>
      <c r="C11" s="2" t="s">
        <v>28</v>
      </c>
      <c r="D11" s="2" t="s">
        <v>28</v>
      </c>
      <c r="E11" s="2" t="s">
        <v>29</v>
      </c>
      <c r="F11" s="2" t="s">
        <v>30</v>
      </c>
      <c r="G11" s="2" t="s">
        <v>30</v>
      </c>
      <c r="H11" s="2" t="s">
        <v>30</v>
      </c>
      <c r="I11" s="2" t="s">
        <v>29</v>
      </c>
      <c r="J11" s="2" t="s">
        <v>31</v>
      </c>
      <c r="K11" s="2" t="s">
        <v>32</v>
      </c>
      <c r="L11" s="2" t="s">
        <v>28</v>
      </c>
      <c r="M11" s="2" t="s">
        <v>28</v>
      </c>
      <c r="N11" s="7" t="s">
        <v>33</v>
      </c>
      <c r="O11" s="1">
        <v>0</v>
      </c>
      <c r="P11" s="1">
        <v>0</v>
      </c>
      <c r="Q11" s="1">
        <f>(H10)/MAX(5-G13,G12)</f>
        <v>11.4285714285714</v>
      </c>
      <c r="R11" s="1">
        <f t="shared" ref="R11:U11" si="9">(I10-H10)/MAX(5-H13,H12)</f>
        <v>10</v>
      </c>
      <c r="S11" s="1">
        <f t="shared" si="9"/>
        <v>40</v>
      </c>
      <c r="T11" s="1">
        <f t="shared" si="9"/>
        <v>66.6666666666667</v>
      </c>
      <c r="U11" s="1">
        <f t="shared" si="9"/>
        <v>20</v>
      </c>
      <c r="V11" s="8">
        <f>SUM(N11:S11)</f>
        <v>61.4285714285714</v>
      </c>
      <c r="W11" s="9">
        <f t="shared" si="8"/>
        <v>148.095238095238</v>
      </c>
      <c r="AH11" t="s">
        <v>53</v>
      </c>
    </row>
    <row r="12" spans="1:34">
      <c r="A12" s="2" t="s">
        <v>50</v>
      </c>
      <c r="B12" s="2" t="s">
        <v>36</v>
      </c>
      <c r="C12" s="2">
        <v>0.3</v>
      </c>
      <c r="D12" s="2">
        <v>1</v>
      </c>
      <c r="E12" s="2">
        <v>1</v>
      </c>
      <c r="F12" s="2">
        <v>1</v>
      </c>
      <c r="G12" s="2">
        <v>1.75</v>
      </c>
      <c r="H12" s="2">
        <v>1</v>
      </c>
      <c r="I12" s="2">
        <v>0.5</v>
      </c>
      <c r="J12" s="2">
        <v>0.3</v>
      </c>
      <c r="K12" s="2">
        <v>1</v>
      </c>
      <c r="L12" s="2">
        <v>20</v>
      </c>
      <c r="M12" s="2">
        <v>20</v>
      </c>
      <c r="N12" s="7" t="s">
        <v>37</v>
      </c>
      <c r="O12" s="1">
        <v>0</v>
      </c>
      <c r="P12" s="1">
        <v>0</v>
      </c>
      <c r="Q12" s="1">
        <f>(H10)/MAX(20-G13,G12)</f>
        <v>2</v>
      </c>
      <c r="R12" s="1">
        <f t="shared" ref="R12:U12" si="10">(I10-H10)/MAX(20-H13,H12)</f>
        <v>1.17647058823529</v>
      </c>
      <c r="S12" s="1">
        <f t="shared" si="10"/>
        <v>1.66666666666667</v>
      </c>
      <c r="T12" s="1">
        <f t="shared" si="10"/>
        <v>66.6666666666667</v>
      </c>
      <c r="U12" s="1">
        <f t="shared" si="10"/>
        <v>1.81818181818182</v>
      </c>
      <c r="V12" s="10">
        <f>SUM(N12:S12)</f>
        <v>4.84313725490196</v>
      </c>
      <c r="W12" s="11">
        <f t="shared" si="8"/>
        <v>73.3279857397504</v>
      </c>
      <c r="AH12" t="s">
        <v>54</v>
      </c>
    </row>
    <row r="13" spans="1:34">
      <c r="A13" s="2" t="s">
        <v>50</v>
      </c>
      <c r="B13" s="2" t="s">
        <v>40</v>
      </c>
      <c r="C13" s="2">
        <v>9999</v>
      </c>
      <c r="D13" s="2">
        <v>9999</v>
      </c>
      <c r="E13" s="2">
        <v>9999</v>
      </c>
      <c r="F13" s="2">
        <v>10</v>
      </c>
      <c r="G13" s="2">
        <v>10</v>
      </c>
      <c r="H13" s="2">
        <v>3</v>
      </c>
      <c r="I13" s="2">
        <v>8</v>
      </c>
      <c r="J13" s="2">
        <v>65</v>
      </c>
      <c r="K13" s="2">
        <v>9</v>
      </c>
      <c r="L13" s="2">
        <v>2</v>
      </c>
      <c r="M13" s="2">
        <v>2</v>
      </c>
      <c r="N13" s="3" t="s">
        <v>55</v>
      </c>
      <c r="O13" s="1">
        <v>0</v>
      </c>
      <c r="P13" s="1">
        <v>0</v>
      </c>
      <c r="AH13" t="s">
        <v>56</v>
      </c>
    </row>
    <row r="14" spans="1:34">
      <c r="A14" s="2" t="s">
        <v>55</v>
      </c>
      <c r="B14" s="2" t="s">
        <v>24</v>
      </c>
      <c r="C14" s="2">
        <v>-9999</v>
      </c>
      <c r="D14" s="2">
        <v>-5000</v>
      </c>
      <c r="E14" s="2">
        <v>-50</v>
      </c>
      <c r="F14" s="2">
        <v>-25</v>
      </c>
      <c r="G14" s="2">
        <v>-10</v>
      </c>
      <c r="H14" s="2">
        <v>30</v>
      </c>
      <c r="I14" s="2">
        <v>60</v>
      </c>
      <c r="J14" s="2">
        <v>90</v>
      </c>
      <c r="K14" s="2">
        <v>125</v>
      </c>
      <c r="L14" s="2">
        <v>150</v>
      </c>
      <c r="M14" s="2">
        <v>9989</v>
      </c>
      <c r="N14" s="4" t="s">
        <v>25</v>
      </c>
      <c r="O14" s="1">
        <v>0</v>
      </c>
      <c r="P14" s="1">
        <v>0</v>
      </c>
      <c r="Q14" s="1">
        <f>H14/G16</f>
        <v>17.1428571428571</v>
      </c>
      <c r="R14" s="1">
        <f t="shared" ref="R14:U14" si="11">(I14-H14)/H16</f>
        <v>30</v>
      </c>
      <c r="S14" s="1">
        <f t="shared" si="11"/>
        <v>60</v>
      </c>
      <c r="T14" s="1">
        <f t="shared" si="11"/>
        <v>116.666666666667</v>
      </c>
      <c r="U14" s="1">
        <f t="shared" si="11"/>
        <v>25</v>
      </c>
      <c r="V14" s="5">
        <f>SUM(N14:S14)</f>
        <v>107.142857142857</v>
      </c>
      <c r="W14" s="6">
        <f t="shared" ref="W14:W16" si="12">SUM(Q14:U14)</f>
        <v>248.809523809524</v>
      </c>
      <c r="AH14" t="s">
        <v>57</v>
      </c>
    </row>
    <row r="15" spans="1:34">
      <c r="A15" s="2" t="s">
        <v>55</v>
      </c>
      <c r="B15" s="2" t="s">
        <v>27</v>
      </c>
      <c r="C15" s="2" t="s">
        <v>28</v>
      </c>
      <c r="D15" s="2" t="s">
        <v>28</v>
      </c>
      <c r="E15" s="2" t="s">
        <v>29</v>
      </c>
      <c r="F15" s="2" t="s">
        <v>30</v>
      </c>
      <c r="G15" s="2" t="s">
        <v>30</v>
      </c>
      <c r="H15" s="2" t="s">
        <v>30</v>
      </c>
      <c r="I15" s="2" t="s">
        <v>29</v>
      </c>
      <c r="J15" s="2" t="s">
        <v>31</v>
      </c>
      <c r="K15" s="2" t="s">
        <v>32</v>
      </c>
      <c r="L15" s="2" t="s">
        <v>28</v>
      </c>
      <c r="M15" s="2" t="s">
        <v>28</v>
      </c>
      <c r="N15" s="7" t="s">
        <v>33</v>
      </c>
      <c r="O15" s="1">
        <v>0</v>
      </c>
      <c r="P15" s="1">
        <v>0</v>
      </c>
      <c r="Q15" s="1">
        <f>(H14)/MAX(5-G17,G16)</f>
        <v>17.1428571428571</v>
      </c>
      <c r="R15" s="1">
        <f t="shared" ref="R15:U15" si="13">(I14-H14)/MAX(5-H17,H16)</f>
        <v>15</v>
      </c>
      <c r="S15" s="1">
        <f t="shared" si="13"/>
        <v>60</v>
      </c>
      <c r="T15" s="1">
        <f t="shared" si="13"/>
        <v>116.666666666667</v>
      </c>
      <c r="U15" s="1">
        <f t="shared" si="13"/>
        <v>25</v>
      </c>
      <c r="V15" s="8">
        <f>SUM(N15:S15)</f>
        <v>92.1428571428571</v>
      </c>
      <c r="W15" s="9">
        <f t="shared" si="12"/>
        <v>233.809523809524</v>
      </c>
      <c r="AH15" t="s">
        <v>58</v>
      </c>
    </row>
    <row r="16" ht="14.25" spans="1:34">
      <c r="A16" s="2" t="s">
        <v>55</v>
      </c>
      <c r="B16" s="2" t="s">
        <v>36</v>
      </c>
      <c r="C16" s="2">
        <v>0.3</v>
      </c>
      <c r="D16" s="2">
        <v>1</v>
      </c>
      <c r="E16" s="2">
        <v>1</v>
      </c>
      <c r="F16" s="2">
        <v>1</v>
      </c>
      <c r="G16" s="2">
        <v>1.75</v>
      </c>
      <c r="H16" s="2">
        <v>1</v>
      </c>
      <c r="I16" s="2">
        <v>0.5</v>
      </c>
      <c r="J16" s="2">
        <v>0.3</v>
      </c>
      <c r="K16" s="2">
        <v>1</v>
      </c>
      <c r="L16" s="2">
        <v>20</v>
      </c>
      <c r="M16" s="2">
        <v>20</v>
      </c>
      <c r="N16" s="7" t="s">
        <v>37</v>
      </c>
      <c r="O16" s="1">
        <v>0</v>
      </c>
      <c r="P16" s="1">
        <v>0</v>
      </c>
      <c r="Q16" s="1">
        <f>(H14)/MAX(20-G17,G16)</f>
        <v>3</v>
      </c>
      <c r="R16" s="1">
        <f t="shared" ref="R16:U16" si="14">(I14-H14)/MAX(20-H17,H16)</f>
        <v>1.76470588235294</v>
      </c>
      <c r="S16" s="1">
        <f t="shared" si="14"/>
        <v>2.5</v>
      </c>
      <c r="T16" s="1">
        <f t="shared" si="14"/>
        <v>116.666666666667</v>
      </c>
      <c r="U16" s="1">
        <f t="shared" si="14"/>
        <v>2.27272727272727</v>
      </c>
      <c r="V16" s="10">
        <f>SUM(N16:S16)</f>
        <v>7.26470588235294</v>
      </c>
      <c r="W16" s="11">
        <f t="shared" si="12"/>
        <v>126.204099821747</v>
      </c>
    </row>
    <row r="17" ht="14.25" spans="1:23">
      <c r="A17" s="2" t="s">
        <v>55</v>
      </c>
      <c r="B17" s="2" t="s">
        <v>40</v>
      </c>
      <c r="C17" s="2">
        <v>9999</v>
      </c>
      <c r="D17" s="2">
        <v>9999</v>
      </c>
      <c r="E17" s="2">
        <v>9999</v>
      </c>
      <c r="F17" s="2">
        <v>10</v>
      </c>
      <c r="G17" s="2">
        <v>10</v>
      </c>
      <c r="H17" s="2">
        <v>3</v>
      </c>
      <c r="I17" s="2">
        <v>8</v>
      </c>
      <c r="J17" s="2">
        <v>65</v>
      </c>
      <c r="K17" s="2">
        <v>9</v>
      </c>
      <c r="L17" s="2">
        <v>2</v>
      </c>
      <c r="M17" s="2">
        <v>2</v>
      </c>
      <c r="N17" s="3" t="s">
        <v>59</v>
      </c>
      <c r="O17" s="1">
        <v>0</v>
      </c>
      <c r="P17" s="1">
        <v>0</v>
      </c>
    </row>
    <row r="18" spans="1:23">
      <c r="A18" s="2" t="s">
        <v>59</v>
      </c>
      <c r="B18" s="2" t="s">
        <v>24</v>
      </c>
      <c r="C18" s="2">
        <v>-9999</v>
      </c>
      <c r="D18" s="2">
        <v>-5000</v>
      </c>
      <c r="E18" s="2">
        <v>-100</v>
      </c>
      <c r="F18" s="2">
        <v>-50</v>
      </c>
      <c r="G18" s="2">
        <v>-20</v>
      </c>
      <c r="H18" s="2">
        <v>30</v>
      </c>
      <c r="I18" s="2">
        <v>60</v>
      </c>
      <c r="J18" s="2">
        <v>100</v>
      </c>
      <c r="K18" s="2">
        <v>150</v>
      </c>
      <c r="L18" s="2">
        <v>200</v>
      </c>
      <c r="M18" s="2">
        <v>9989</v>
      </c>
      <c r="N18" s="4" t="s">
        <v>25</v>
      </c>
      <c r="O18" s="1">
        <v>0</v>
      </c>
      <c r="P18" s="1">
        <v>0</v>
      </c>
      <c r="Q18" s="1">
        <f>H18/G20</f>
        <v>17.1428571428571</v>
      </c>
      <c r="R18" s="1">
        <f t="shared" ref="R18:U18" si="15">(I18-H18)/H20</f>
        <v>30</v>
      </c>
      <c r="S18" s="1">
        <f t="shared" si="15"/>
        <v>80</v>
      </c>
      <c r="T18" s="1">
        <f t="shared" si="15"/>
        <v>100</v>
      </c>
      <c r="U18" s="1">
        <f t="shared" si="15"/>
        <v>50</v>
      </c>
      <c r="V18" s="5">
        <f>SUM(N18:S18)</f>
        <v>127.142857142857</v>
      </c>
      <c r="W18" s="6">
        <f t="shared" ref="W18:W20" si="16">SUM(Q18:U18)</f>
        <v>277.142857142857</v>
      </c>
    </row>
    <row r="19" spans="1:23">
      <c r="A19" s="2" t="s">
        <v>59</v>
      </c>
      <c r="B19" s="2" t="s">
        <v>27</v>
      </c>
      <c r="C19" s="2" t="s">
        <v>28</v>
      </c>
      <c r="D19" s="2" t="s">
        <v>28</v>
      </c>
      <c r="E19" s="2" t="s">
        <v>29</v>
      </c>
      <c r="F19" s="2" t="s">
        <v>30</v>
      </c>
      <c r="G19" s="2" t="s">
        <v>30</v>
      </c>
      <c r="H19" s="2" t="s">
        <v>30</v>
      </c>
      <c r="I19" s="2" t="s">
        <v>29</v>
      </c>
      <c r="J19" s="2" t="s">
        <v>31</v>
      </c>
      <c r="K19" s="2" t="s">
        <v>32</v>
      </c>
      <c r="L19" s="2" t="s">
        <v>28</v>
      </c>
      <c r="M19" s="2" t="s">
        <v>28</v>
      </c>
      <c r="N19" s="7" t="s">
        <v>33</v>
      </c>
      <c r="O19" s="1">
        <v>0</v>
      </c>
      <c r="P19" s="1">
        <v>0</v>
      </c>
      <c r="Q19" s="1">
        <f>(H18)/MAX(5-G21,G20)</f>
        <v>17.1428571428571</v>
      </c>
      <c r="R19" s="1">
        <f t="shared" ref="R19:U19" si="17">(I18-H18)/MAX(5-H21,H20)</f>
        <v>15</v>
      </c>
      <c r="S19" s="1">
        <f t="shared" si="17"/>
        <v>80</v>
      </c>
      <c r="T19" s="1">
        <f t="shared" si="17"/>
        <v>100</v>
      </c>
      <c r="U19" s="1">
        <f t="shared" si="17"/>
        <v>50</v>
      </c>
      <c r="V19" s="8">
        <f>SUM(N19:S19)</f>
        <v>112.142857142857</v>
      </c>
      <c r="W19" s="9">
        <f t="shared" si="16"/>
        <v>262.142857142857</v>
      </c>
    </row>
    <row r="20" ht="14.25" spans="1:23">
      <c r="A20" s="2" t="s">
        <v>59</v>
      </c>
      <c r="B20" s="2" t="s">
        <v>36</v>
      </c>
      <c r="C20" s="2">
        <v>0.3</v>
      </c>
      <c r="D20" s="2">
        <v>1</v>
      </c>
      <c r="E20" s="2">
        <v>1</v>
      </c>
      <c r="F20" s="2">
        <v>1</v>
      </c>
      <c r="G20" s="2">
        <v>1.75</v>
      </c>
      <c r="H20" s="2">
        <v>1</v>
      </c>
      <c r="I20" s="2">
        <v>0.5</v>
      </c>
      <c r="J20" s="2">
        <v>0.5</v>
      </c>
      <c r="K20" s="2">
        <v>1</v>
      </c>
      <c r="L20" s="2">
        <v>20</v>
      </c>
      <c r="M20" s="2">
        <v>20</v>
      </c>
      <c r="N20" s="7" t="s">
        <v>37</v>
      </c>
      <c r="O20" s="1">
        <v>0</v>
      </c>
      <c r="P20" s="1">
        <v>0</v>
      </c>
      <c r="Q20" s="1">
        <f>(H18)/MAX(20-G21,G20)</f>
        <v>3</v>
      </c>
      <c r="R20" s="1">
        <f t="shared" ref="R20:U20" si="18">(I18-H18)/MAX(20-H21,H20)</f>
        <v>1.76470588235294</v>
      </c>
      <c r="S20" s="1">
        <f t="shared" si="18"/>
        <v>3.33333333333333</v>
      </c>
      <c r="T20" s="1">
        <f t="shared" si="18"/>
        <v>100</v>
      </c>
      <c r="U20" s="1">
        <f t="shared" si="18"/>
        <v>4.54545454545455</v>
      </c>
      <c r="V20" s="10">
        <f>SUM(N20:S20)</f>
        <v>8.09803921568627</v>
      </c>
      <c r="W20" s="11">
        <f t="shared" si="16"/>
        <v>112.643493761141</v>
      </c>
    </row>
    <row r="21" ht="14.25" spans="1:23">
      <c r="A21" s="2" t="s">
        <v>59</v>
      </c>
      <c r="B21" s="2" t="s">
        <v>40</v>
      </c>
      <c r="C21" s="2">
        <v>9999</v>
      </c>
      <c r="D21" s="2">
        <v>9999</v>
      </c>
      <c r="E21" s="2">
        <v>9999</v>
      </c>
      <c r="F21" s="2">
        <v>10</v>
      </c>
      <c r="G21" s="2">
        <v>10</v>
      </c>
      <c r="H21" s="2">
        <v>3</v>
      </c>
      <c r="I21" s="2">
        <v>8</v>
      </c>
      <c r="J21" s="2">
        <v>40</v>
      </c>
      <c r="K21" s="2">
        <v>9</v>
      </c>
      <c r="L21" s="2">
        <v>2</v>
      </c>
      <c r="M21" s="2">
        <v>2</v>
      </c>
      <c r="N21" s="3" t="s">
        <v>60</v>
      </c>
      <c r="O21" s="1">
        <v>0</v>
      </c>
      <c r="P21" s="1">
        <v>0</v>
      </c>
    </row>
    <row r="22" spans="1:23">
      <c r="A22" s="2" t="s">
        <v>60</v>
      </c>
      <c r="B22" s="2" t="s">
        <v>24</v>
      </c>
      <c r="C22" s="2">
        <v>-9999</v>
      </c>
      <c r="D22" s="2">
        <v>-5000</v>
      </c>
      <c r="E22" s="2">
        <v>-150</v>
      </c>
      <c r="F22" s="2">
        <v>-75</v>
      </c>
      <c r="G22" s="2">
        <v>-20</v>
      </c>
      <c r="H22" s="2">
        <v>50</v>
      </c>
      <c r="I22" s="2">
        <v>100</v>
      </c>
      <c r="J22" s="2">
        <v>175</v>
      </c>
      <c r="K22" s="2">
        <v>250</v>
      </c>
      <c r="L22" s="2">
        <v>300</v>
      </c>
      <c r="M22" s="2">
        <v>9989</v>
      </c>
      <c r="N22" s="4" t="s">
        <v>25</v>
      </c>
      <c r="O22" s="1">
        <v>0</v>
      </c>
      <c r="P22" s="1">
        <v>0</v>
      </c>
      <c r="Q22" s="1">
        <f>H22/G24</f>
        <v>28.5714285714286</v>
      </c>
      <c r="R22" s="1">
        <f t="shared" ref="R22:U22" si="19">(I22-H22)/H24</f>
        <v>50</v>
      </c>
      <c r="S22" s="1">
        <f t="shared" si="19"/>
        <v>75</v>
      </c>
      <c r="T22" s="1">
        <f t="shared" si="19"/>
        <v>150</v>
      </c>
      <c r="U22" s="1">
        <f t="shared" si="19"/>
        <v>50</v>
      </c>
      <c r="V22" s="5">
        <f>SUM(N22:S22)</f>
        <v>153.571428571429</v>
      </c>
      <c r="W22" s="6">
        <f t="shared" ref="W22:W24" si="20">SUM(Q22:U22)</f>
        <v>353.571428571429</v>
      </c>
    </row>
    <row r="23" spans="1:23">
      <c r="A23" s="2" t="s">
        <v>60</v>
      </c>
      <c r="B23" s="2" t="s">
        <v>27</v>
      </c>
      <c r="C23" s="2" t="s">
        <v>28</v>
      </c>
      <c r="D23" s="2" t="s">
        <v>28</v>
      </c>
      <c r="E23" s="2" t="s">
        <v>29</v>
      </c>
      <c r="F23" s="2" t="s">
        <v>30</v>
      </c>
      <c r="G23" s="2" t="s">
        <v>30</v>
      </c>
      <c r="H23" s="2" t="s">
        <v>30</v>
      </c>
      <c r="I23" s="2" t="s">
        <v>29</v>
      </c>
      <c r="J23" s="2" t="s">
        <v>31</v>
      </c>
      <c r="K23" s="2" t="s">
        <v>32</v>
      </c>
      <c r="L23" s="2" t="s">
        <v>28</v>
      </c>
      <c r="M23" s="2" t="s">
        <v>28</v>
      </c>
      <c r="N23" s="7" t="s">
        <v>33</v>
      </c>
      <c r="O23" s="1">
        <v>0</v>
      </c>
      <c r="P23" s="1">
        <v>0</v>
      </c>
      <c r="Q23" s="1">
        <f>(H22)/MAX(5-G25,G24)</f>
        <v>28.5714285714286</v>
      </c>
      <c r="R23" s="1">
        <f t="shared" ref="R23:U23" si="21">(I22-H22)/MAX(5-H25,H24)</f>
        <v>25</v>
      </c>
      <c r="S23" s="1">
        <f t="shared" si="21"/>
        <v>75</v>
      </c>
      <c r="T23" s="1">
        <f t="shared" si="21"/>
        <v>150</v>
      </c>
      <c r="U23" s="1">
        <f t="shared" si="21"/>
        <v>50</v>
      </c>
      <c r="V23" s="8">
        <f>SUM(N23:S23)</f>
        <v>128.571428571429</v>
      </c>
      <c r="W23" s="9">
        <f t="shared" si="20"/>
        <v>328.571428571429</v>
      </c>
    </row>
    <row r="24" ht="14.25" spans="1:23">
      <c r="A24" s="2" t="s">
        <v>60</v>
      </c>
      <c r="B24" s="2" t="s">
        <v>36</v>
      </c>
      <c r="C24" s="2">
        <v>0.3</v>
      </c>
      <c r="D24" s="2">
        <v>1</v>
      </c>
      <c r="E24" s="2">
        <v>1</v>
      </c>
      <c r="F24" s="2">
        <v>1</v>
      </c>
      <c r="G24" s="2">
        <v>1.75</v>
      </c>
      <c r="H24" s="2">
        <v>1</v>
      </c>
      <c r="I24" s="2">
        <v>1</v>
      </c>
      <c r="J24" s="2">
        <v>0.5</v>
      </c>
      <c r="K24" s="2">
        <v>1</v>
      </c>
      <c r="L24" s="2">
        <v>20</v>
      </c>
      <c r="M24" s="2">
        <v>20</v>
      </c>
      <c r="N24" s="7" t="s">
        <v>37</v>
      </c>
      <c r="O24" s="1">
        <v>0</v>
      </c>
      <c r="P24" s="1">
        <v>0</v>
      </c>
      <c r="Q24" s="1">
        <f>(H22)/MAX(20-G25,G24)</f>
        <v>5</v>
      </c>
      <c r="R24" s="1">
        <f t="shared" ref="R24:U24" si="22">(I22-H22)/MAX(20-H25,H24)</f>
        <v>2.94117647058824</v>
      </c>
      <c r="S24" s="1">
        <f t="shared" si="22"/>
        <v>6.25</v>
      </c>
      <c r="T24" s="1">
        <f t="shared" si="22"/>
        <v>150</v>
      </c>
      <c r="U24" s="1">
        <f t="shared" si="22"/>
        <v>4.54545454545455</v>
      </c>
      <c r="V24" s="10">
        <f>SUM(N24:S24)</f>
        <v>14.1911764705882</v>
      </c>
      <c r="W24" s="11">
        <f t="shared" si="20"/>
        <v>168.736631016043</v>
      </c>
    </row>
    <row r="25" ht="14.25" spans="1:23">
      <c r="A25" s="2" t="s">
        <v>60</v>
      </c>
      <c r="B25" s="2" t="s">
        <v>40</v>
      </c>
      <c r="C25" s="2">
        <v>9999</v>
      </c>
      <c r="D25" s="2">
        <v>9999</v>
      </c>
      <c r="E25" s="2">
        <v>9999</v>
      </c>
      <c r="F25" s="2">
        <v>10</v>
      </c>
      <c r="G25" s="2">
        <v>10</v>
      </c>
      <c r="H25" s="2">
        <v>3</v>
      </c>
      <c r="I25" s="2">
        <v>8</v>
      </c>
      <c r="J25" s="2">
        <v>40</v>
      </c>
      <c r="K25" s="2">
        <v>9</v>
      </c>
      <c r="L25" s="2">
        <v>2</v>
      </c>
      <c r="M25" s="2">
        <v>2</v>
      </c>
      <c r="N25" s="3" t="s">
        <v>61</v>
      </c>
      <c r="O25" s="1">
        <v>0</v>
      </c>
      <c r="P25" s="1">
        <v>0</v>
      </c>
    </row>
    <row r="26" spans="1:23">
      <c r="A26" s="2" t="s">
        <v>61</v>
      </c>
      <c r="B26" s="2" t="s">
        <v>24</v>
      </c>
      <c r="C26" s="2">
        <v>-9999</v>
      </c>
      <c r="D26" s="2">
        <v>-5000</v>
      </c>
      <c r="E26" s="2">
        <v>-50</v>
      </c>
      <c r="F26" s="2">
        <v>-25</v>
      </c>
      <c r="G26" s="2">
        <v>-10</v>
      </c>
      <c r="H26" s="2">
        <v>20</v>
      </c>
      <c r="I26" s="2">
        <v>40</v>
      </c>
      <c r="J26" s="2">
        <v>60</v>
      </c>
      <c r="K26" s="2">
        <v>100</v>
      </c>
      <c r="L26" s="2">
        <v>125</v>
      </c>
      <c r="M26" s="2">
        <v>9989</v>
      </c>
      <c r="N26" s="4" t="s">
        <v>25</v>
      </c>
      <c r="O26" s="1">
        <v>0</v>
      </c>
      <c r="P26" s="1">
        <v>0</v>
      </c>
      <c r="Q26" s="1">
        <f>H26/G28</f>
        <v>11.4285714285714</v>
      </c>
      <c r="R26" s="1">
        <f t="shared" ref="R26:U26" si="23">(I26-H26)/H28</f>
        <v>20</v>
      </c>
      <c r="S26" s="1">
        <f t="shared" si="23"/>
        <v>40</v>
      </c>
      <c r="T26" s="1">
        <f t="shared" si="23"/>
        <v>133.333333333333</v>
      </c>
      <c r="U26" s="1">
        <f t="shared" si="23"/>
        <v>25</v>
      </c>
      <c r="V26" s="5">
        <f>SUM(N26:S26)</f>
        <v>71.4285714285714</v>
      </c>
      <c r="W26" s="6">
        <f t="shared" ref="W26:W28" si="24">SUM(Q26:U26)</f>
        <v>229.761904761905</v>
      </c>
    </row>
    <row r="27" spans="1:23">
      <c r="A27" s="2" t="s">
        <v>61</v>
      </c>
      <c r="B27" s="2" t="s">
        <v>27</v>
      </c>
      <c r="C27" s="2" t="s">
        <v>28</v>
      </c>
      <c r="D27" s="2" t="s">
        <v>28</v>
      </c>
      <c r="E27" s="2" t="s">
        <v>29</v>
      </c>
      <c r="F27" s="2" t="s">
        <v>30</v>
      </c>
      <c r="G27" s="2" t="s">
        <v>30</v>
      </c>
      <c r="H27" s="2" t="s">
        <v>30</v>
      </c>
      <c r="I27" s="2" t="s">
        <v>29</v>
      </c>
      <c r="J27" s="2" t="s">
        <v>31</v>
      </c>
      <c r="K27" s="2" t="s">
        <v>32</v>
      </c>
      <c r="L27" s="2" t="s">
        <v>28</v>
      </c>
      <c r="M27" s="2" t="s">
        <v>28</v>
      </c>
      <c r="N27" s="7" t="s">
        <v>33</v>
      </c>
      <c r="O27" s="1">
        <v>0</v>
      </c>
      <c r="P27" s="1">
        <v>0</v>
      </c>
      <c r="Q27" s="1">
        <f>(H26)/MAX(5-G29,G28)</f>
        <v>11.4285714285714</v>
      </c>
      <c r="R27" s="1">
        <f t="shared" ref="R27:U27" si="25">(I26-H26)/MAX(5-H29,H28)</f>
        <v>10</v>
      </c>
      <c r="S27" s="1">
        <f t="shared" si="25"/>
        <v>40</v>
      </c>
      <c r="T27" s="1">
        <f t="shared" si="25"/>
        <v>133.333333333333</v>
      </c>
      <c r="U27" s="1">
        <f t="shared" si="25"/>
        <v>25</v>
      </c>
      <c r="V27" s="8">
        <f>SUM(N27:S27)</f>
        <v>61.4285714285714</v>
      </c>
      <c r="W27" s="9">
        <f t="shared" si="24"/>
        <v>219.761904761905</v>
      </c>
    </row>
    <row r="28" ht="14.25" spans="1:23">
      <c r="A28" s="2" t="s">
        <v>61</v>
      </c>
      <c r="B28" s="2" t="s">
        <v>36</v>
      </c>
      <c r="C28" s="2">
        <v>0.3</v>
      </c>
      <c r="D28" s="2">
        <v>1</v>
      </c>
      <c r="E28" s="2">
        <v>1</v>
      </c>
      <c r="F28" s="2">
        <v>1</v>
      </c>
      <c r="G28" s="2">
        <v>1.75</v>
      </c>
      <c r="H28" s="2">
        <v>1</v>
      </c>
      <c r="I28" s="2">
        <v>0.5</v>
      </c>
      <c r="J28" s="2">
        <v>0.3</v>
      </c>
      <c r="K28" s="2">
        <v>1</v>
      </c>
      <c r="L28" s="2">
        <v>20</v>
      </c>
      <c r="M28" s="2">
        <v>20</v>
      </c>
      <c r="N28" s="7" t="s">
        <v>37</v>
      </c>
      <c r="O28" s="1">
        <v>0</v>
      </c>
      <c r="P28" s="1">
        <v>0</v>
      </c>
      <c r="Q28" s="1">
        <f>(H26)/MAX(20-G29,G28)</f>
        <v>2</v>
      </c>
      <c r="R28" s="1">
        <f t="shared" ref="R28:U28" si="26">(I26-H26)/MAX(20-H29,H28)</f>
        <v>1.17647058823529</v>
      </c>
      <c r="S28" s="1">
        <f t="shared" si="26"/>
        <v>1.66666666666667</v>
      </c>
      <c r="T28" s="1">
        <f t="shared" si="26"/>
        <v>133.333333333333</v>
      </c>
      <c r="U28" s="1">
        <f t="shared" si="26"/>
        <v>2.27272727272727</v>
      </c>
      <c r="V28" s="10">
        <f>SUM(N28:S28)</f>
        <v>4.84313725490196</v>
      </c>
      <c r="W28" s="11">
        <f t="shared" si="24"/>
        <v>140.449197860963</v>
      </c>
    </row>
    <row r="29" ht="14.25" spans="1:23">
      <c r="A29" s="2" t="s">
        <v>61</v>
      </c>
      <c r="B29" s="2" t="s">
        <v>40</v>
      </c>
      <c r="C29" s="2">
        <v>9999</v>
      </c>
      <c r="D29" s="2">
        <v>9999</v>
      </c>
      <c r="E29" s="2">
        <v>9999</v>
      </c>
      <c r="F29" s="2">
        <v>10</v>
      </c>
      <c r="G29" s="2">
        <v>10</v>
      </c>
      <c r="H29" s="2">
        <v>3</v>
      </c>
      <c r="I29" s="2">
        <v>8</v>
      </c>
      <c r="J29" s="2">
        <v>9999</v>
      </c>
      <c r="K29" s="2">
        <v>9</v>
      </c>
      <c r="L29" s="2">
        <v>2</v>
      </c>
      <c r="M29" s="2">
        <v>2</v>
      </c>
      <c r="N29" s="3" t="s">
        <v>62</v>
      </c>
      <c r="O29" s="1">
        <v>0</v>
      </c>
      <c r="P29" s="1">
        <v>0</v>
      </c>
    </row>
    <row r="30" spans="1:23">
      <c r="A30" s="2" t="s">
        <v>62</v>
      </c>
      <c r="B30" s="2" t="s">
        <v>24</v>
      </c>
      <c r="C30" s="2">
        <v>-9999</v>
      </c>
      <c r="D30" s="2">
        <v>-5000</v>
      </c>
      <c r="E30" s="2">
        <v>-50</v>
      </c>
      <c r="F30" s="2">
        <v>-25</v>
      </c>
      <c r="G30" s="2">
        <v>-10</v>
      </c>
      <c r="H30" s="2">
        <v>20</v>
      </c>
      <c r="I30" s="2">
        <v>40</v>
      </c>
      <c r="J30" s="2">
        <v>60</v>
      </c>
      <c r="K30" s="2">
        <v>80</v>
      </c>
      <c r="L30" s="2">
        <v>100</v>
      </c>
      <c r="M30" s="2">
        <v>9989</v>
      </c>
      <c r="N30" s="4" t="s">
        <v>25</v>
      </c>
      <c r="O30" s="1">
        <v>0</v>
      </c>
      <c r="P30" s="1">
        <v>0</v>
      </c>
      <c r="Q30" s="1">
        <f>H30/G32</f>
        <v>11.4285714285714</v>
      </c>
      <c r="R30" s="1">
        <f t="shared" ref="R30:U30" si="27">(I30-H30)/H32</f>
        <v>20</v>
      </c>
      <c r="S30" s="1">
        <f t="shared" si="27"/>
        <v>40</v>
      </c>
      <c r="T30" s="1">
        <f t="shared" si="27"/>
        <v>66.6666666666667</v>
      </c>
      <c r="U30" s="1">
        <f t="shared" si="27"/>
        <v>20</v>
      </c>
      <c r="V30" s="5">
        <f>SUM(N30:S30)</f>
        <v>71.4285714285714</v>
      </c>
      <c r="W30" s="6">
        <f t="shared" ref="W30:W32" si="28">SUM(Q30:U30)</f>
        <v>158.095238095238</v>
      </c>
    </row>
    <row r="31" spans="1:23">
      <c r="A31" s="2" t="s">
        <v>62</v>
      </c>
      <c r="B31" s="2" t="s">
        <v>27</v>
      </c>
      <c r="C31" s="2" t="s">
        <v>28</v>
      </c>
      <c r="D31" s="2" t="s">
        <v>28</v>
      </c>
      <c r="E31" s="2" t="s">
        <v>29</v>
      </c>
      <c r="F31" s="2" t="s">
        <v>30</v>
      </c>
      <c r="G31" s="2" t="s">
        <v>30</v>
      </c>
      <c r="H31" s="2" t="s">
        <v>30</v>
      </c>
      <c r="I31" s="2" t="s">
        <v>29</v>
      </c>
      <c r="J31" s="2" t="s">
        <v>31</v>
      </c>
      <c r="K31" s="2" t="s">
        <v>32</v>
      </c>
      <c r="L31" s="2" t="s">
        <v>28</v>
      </c>
      <c r="M31" s="2" t="s">
        <v>28</v>
      </c>
      <c r="N31" s="7" t="s">
        <v>33</v>
      </c>
      <c r="O31" s="1">
        <v>0</v>
      </c>
      <c r="P31" s="1">
        <v>0</v>
      </c>
      <c r="Q31" s="1">
        <f>(H30)/MAX(5-G33,G32)</f>
        <v>11.4285714285714</v>
      </c>
      <c r="R31" s="1">
        <f t="shared" ref="R31:U31" si="29">(I30-H30)/MAX(5-H33,H32)</f>
        <v>20</v>
      </c>
      <c r="S31" s="1">
        <f t="shared" si="29"/>
        <v>40</v>
      </c>
      <c r="T31" s="1">
        <f t="shared" si="29"/>
        <v>66.6666666666667</v>
      </c>
      <c r="U31" s="1">
        <f t="shared" si="29"/>
        <v>20</v>
      </c>
      <c r="V31" s="8">
        <f>SUM(N31:S31)</f>
        <v>71.4285714285714</v>
      </c>
      <c r="W31" s="9">
        <f t="shared" si="28"/>
        <v>158.095238095238</v>
      </c>
    </row>
    <row r="32" ht="14.25" spans="1:23">
      <c r="A32" s="2" t="s">
        <v>62</v>
      </c>
      <c r="B32" s="2" t="s">
        <v>36</v>
      </c>
      <c r="C32" s="2">
        <v>0.3</v>
      </c>
      <c r="D32" s="2">
        <v>1</v>
      </c>
      <c r="E32" s="2">
        <v>1</v>
      </c>
      <c r="F32" s="2">
        <v>1</v>
      </c>
      <c r="G32" s="2">
        <v>1.75</v>
      </c>
      <c r="H32" s="2">
        <v>1</v>
      </c>
      <c r="I32" s="2">
        <v>0.5</v>
      </c>
      <c r="J32" s="2">
        <v>0.3</v>
      </c>
      <c r="K32" s="2">
        <v>1</v>
      </c>
      <c r="L32" s="2">
        <v>20</v>
      </c>
      <c r="M32" s="2">
        <v>20</v>
      </c>
      <c r="N32" s="7" t="s">
        <v>37</v>
      </c>
      <c r="O32" s="1">
        <v>0</v>
      </c>
      <c r="P32" s="1">
        <v>0</v>
      </c>
      <c r="Q32" s="1">
        <f>(H30)/MAX(20-G33,G32)</f>
        <v>2</v>
      </c>
      <c r="R32" s="1">
        <f t="shared" ref="R32:U32" si="30">(I30-H30)/MAX(20-H33,H32)</f>
        <v>20</v>
      </c>
      <c r="S32" s="1">
        <f t="shared" si="30"/>
        <v>1.66666666666667</v>
      </c>
      <c r="T32" s="1">
        <f t="shared" si="30"/>
        <v>66.6666666666667</v>
      </c>
      <c r="U32" s="1">
        <f t="shared" si="30"/>
        <v>1.81818181818182</v>
      </c>
      <c r="V32" s="10">
        <f>SUM(N32:S32)</f>
        <v>23.6666666666667</v>
      </c>
      <c r="W32" s="11">
        <f t="shared" si="28"/>
        <v>92.1515151515152</v>
      </c>
    </row>
    <row r="33" ht="14.25" spans="1:23">
      <c r="A33" s="2" t="s">
        <v>62</v>
      </c>
      <c r="B33" s="2" t="s">
        <v>40</v>
      </c>
      <c r="C33" s="2">
        <v>9999</v>
      </c>
      <c r="D33" s="2">
        <v>9999</v>
      </c>
      <c r="E33" s="2">
        <v>9999</v>
      </c>
      <c r="F33" s="2">
        <v>10</v>
      </c>
      <c r="G33" s="2">
        <v>10</v>
      </c>
      <c r="H33" s="2">
        <v>9999</v>
      </c>
      <c r="I33" s="2">
        <v>8</v>
      </c>
      <c r="J33" s="2">
        <v>9999</v>
      </c>
      <c r="K33" s="2">
        <v>9</v>
      </c>
      <c r="L33" s="2">
        <v>2</v>
      </c>
      <c r="M33" s="2">
        <v>2</v>
      </c>
      <c r="N33" s="3" t="s">
        <v>63</v>
      </c>
      <c r="O33" s="1">
        <v>0</v>
      </c>
      <c r="P33" s="1">
        <v>0</v>
      </c>
    </row>
    <row r="34" spans="1:23">
      <c r="A34" s="2" t="s">
        <v>63</v>
      </c>
      <c r="B34" s="2" t="s">
        <v>24</v>
      </c>
      <c r="C34" s="2">
        <v>-9999</v>
      </c>
      <c r="D34" s="2">
        <v>-5000</v>
      </c>
      <c r="E34" s="2">
        <v>-20</v>
      </c>
      <c r="F34" s="2">
        <v>0</v>
      </c>
      <c r="G34" s="2">
        <v>20</v>
      </c>
      <c r="H34" s="2">
        <v>40</v>
      </c>
      <c r="I34" s="2">
        <v>60</v>
      </c>
      <c r="J34" s="2">
        <v>100</v>
      </c>
      <c r="K34" s="2">
        <v>130</v>
      </c>
      <c r="L34" s="2">
        <v>150</v>
      </c>
      <c r="M34" s="2">
        <v>9989</v>
      </c>
      <c r="N34" s="4" t="s">
        <v>25</v>
      </c>
      <c r="O34" s="1">
        <v>0</v>
      </c>
      <c r="P34" s="1">
        <f t="shared" ref="P34:U34" si="31">(G34-F34)/F36</f>
        <v>20</v>
      </c>
      <c r="Q34" s="1">
        <f t="shared" si="31"/>
        <v>11.4285714285714</v>
      </c>
      <c r="R34" s="1">
        <f t="shared" si="31"/>
        <v>20</v>
      </c>
      <c r="S34" s="1">
        <f t="shared" si="31"/>
        <v>80</v>
      </c>
      <c r="T34" s="1">
        <f t="shared" si="31"/>
        <v>100</v>
      </c>
      <c r="U34" s="1">
        <f t="shared" si="31"/>
        <v>20</v>
      </c>
      <c r="V34" s="5">
        <f>SUM(N34:S34)</f>
        <v>131.428571428571</v>
      </c>
      <c r="W34" s="6">
        <f t="shared" ref="W34:W36" si="32">SUM(Q34:U34)</f>
        <v>231.428571428571</v>
      </c>
    </row>
    <row r="35" spans="1:23">
      <c r="A35" s="2" t="s">
        <v>63</v>
      </c>
      <c r="B35" s="2" t="s">
        <v>27</v>
      </c>
      <c r="C35" s="2" t="s">
        <v>28</v>
      </c>
      <c r="D35" s="2" t="s">
        <v>28</v>
      </c>
      <c r="E35" s="2" t="s">
        <v>29</v>
      </c>
      <c r="F35" s="2" t="s">
        <v>30</v>
      </c>
      <c r="G35" s="2" t="s">
        <v>30</v>
      </c>
      <c r="H35" s="2" t="s">
        <v>30</v>
      </c>
      <c r="I35" s="2" t="s">
        <v>29</v>
      </c>
      <c r="J35" s="2" t="s">
        <v>31</v>
      </c>
      <c r="K35" s="2" t="s">
        <v>32</v>
      </c>
      <c r="L35" s="2" t="s">
        <v>28</v>
      </c>
      <c r="M35" s="2" t="s">
        <v>28</v>
      </c>
      <c r="N35" s="7" t="s">
        <v>33</v>
      </c>
      <c r="O35" s="1">
        <v>0</v>
      </c>
      <c r="P35" s="1">
        <f>(G34-F34)/MAX(5-F37,F36)</f>
        <v>20</v>
      </c>
      <c r="Q35" s="1">
        <f>(H34-G34)/MAX(5-G37,G36)</f>
        <v>11.4285714285714</v>
      </c>
      <c r="R35" s="1">
        <f t="shared" ref="R35:U35" si="33">(I34-H34)/MAX(5-H37,H36)</f>
        <v>10</v>
      </c>
      <c r="S35" s="1">
        <f t="shared" si="33"/>
        <v>80</v>
      </c>
      <c r="T35" s="1">
        <f t="shared" si="33"/>
        <v>100</v>
      </c>
      <c r="U35" s="1">
        <f t="shared" si="33"/>
        <v>20</v>
      </c>
      <c r="V35" s="8">
        <f>SUM(N35:S35)</f>
        <v>121.428571428571</v>
      </c>
      <c r="W35" s="9">
        <f t="shared" si="32"/>
        <v>221.428571428571</v>
      </c>
    </row>
    <row r="36" ht="14.25" spans="1:23">
      <c r="A36" s="2" t="s">
        <v>63</v>
      </c>
      <c r="B36" s="2" t="s">
        <v>36</v>
      </c>
      <c r="C36" s="2">
        <v>0.3</v>
      </c>
      <c r="D36" s="2">
        <v>1</v>
      </c>
      <c r="E36" s="2">
        <v>1</v>
      </c>
      <c r="F36" s="2">
        <v>1</v>
      </c>
      <c r="G36" s="2">
        <v>1.75</v>
      </c>
      <c r="H36" s="2">
        <v>1</v>
      </c>
      <c r="I36" s="2">
        <v>0.5</v>
      </c>
      <c r="J36" s="2">
        <v>0.3</v>
      </c>
      <c r="K36" s="2">
        <v>1</v>
      </c>
      <c r="L36" s="2">
        <v>20</v>
      </c>
      <c r="M36" s="2">
        <v>20</v>
      </c>
      <c r="N36" s="7" t="s">
        <v>37</v>
      </c>
      <c r="O36" s="1">
        <v>0</v>
      </c>
      <c r="P36" s="1">
        <f>(G34-F34)/MAX(20-F37,F36)</f>
        <v>2</v>
      </c>
      <c r="Q36" s="1">
        <f>(H34-G34)/MAX(20-G37,G36)</f>
        <v>2</v>
      </c>
      <c r="R36" s="1">
        <f t="shared" ref="R36:U36" si="34">(I34-H34)/MAX(20-H37,H36)</f>
        <v>1.17647058823529</v>
      </c>
      <c r="S36" s="1">
        <f t="shared" si="34"/>
        <v>3.33333333333333</v>
      </c>
      <c r="T36" s="1">
        <f t="shared" si="34"/>
        <v>100</v>
      </c>
      <c r="U36" s="1">
        <f t="shared" si="34"/>
        <v>1.81818181818182</v>
      </c>
      <c r="V36" s="10">
        <f>SUM(N36:S36)</f>
        <v>8.50980392156863</v>
      </c>
      <c r="W36" s="11">
        <f t="shared" si="32"/>
        <v>108.32798573975</v>
      </c>
    </row>
    <row r="37" spans="1:23">
      <c r="A37" s="2" t="s">
        <v>63</v>
      </c>
      <c r="B37" s="2" t="s">
        <v>40</v>
      </c>
      <c r="C37" s="2">
        <v>9999</v>
      </c>
      <c r="D37" s="2">
        <v>9999</v>
      </c>
      <c r="E37" s="2">
        <v>9999</v>
      </c>
      <c r="F37" s="2">
        <v>10</v>
      </c>
      <c r="G37" s="2">
        <v>10</v>
      </c>
      <c r="H37" s="2">
        <v>3</v>
      </c>
      <c r="I37" s="2">
        <v>8</v>
      </c>
      <c r="J37" s="2">
        <v>65</v>
      </c>
      <c r="K37" s="2">
        <v>9</v>
      </c>
      <c r="L37" s="2">
        <v>2</v>
      </c>
      <c r="M37" s="2">
        <v>2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Lixueji</dc:creator>
  <cp:lastModifiedBy>WPS_1620787119</cp:lastModifiedBy>
  <dcterms:created xsi:type="dcterms:W3CDTF">2023-05-12T11:15:00Z</dcterms:created>
  <dcterms:modified xsi:type="dcterms:W3CDTF">2025-11-12T01:23:34Z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79509E2C84BA4B4CAD5D94B3AEB14D5F_12</vt:lpwstr>
  </property>
</Properties>
</file>